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5"/>
    <sheet state="visible" name="Commision" sheetId="2" r:id="rId6"/>
    <sheet state="visible" name="Cash flow" sheetId="3" r:id="rId7"/>
  </sheets>
  <definedNames/>
  <calcPr/>
</workbook>
</file>

<file path=xl/sharedStrings.xml><?xml version="1.0" encoding="utf-8"?>
<sst xmlns="http://schemas.openxmlformats.org/spreadsheetml/2006/main" count="95" uniqueCount="53">
  <si>
    <t>DATE</t>
  </si>
  <si>
    <t>Date</t>
  </si>
  <si>
    <t xml:space="preserve"> </t>
  </si>
  <si>
    <t>CASH</t>
  </si>
  <si>
    <t>Ai</t>
  </si>
  <si>
    <t>CARD</t>
  </si>
  <si>
    <t>TOUCH N GO</t>
  </si>
  <si>
    <t xml:space="preserve">BANK IN </t>
  </si>
  <si>
    <t>Sharon</t>
  </si>
  <si>
    <t>Pool</t>
  </si>
  <si>
    <t>Shara</t>
  </si>
  <si>
    <t>Abby</t>
  </si>
  <si>
    <t>Alex</t>
  </si>
  <si>
    <t>Saiful</t>
  </si>
  <si>
    <t>Hotel</t>
  </si>
  <si>
    <t>Off</t>
  </si>
  <si>
    <t>Particulars</t>
  </si>
  <si>
    <t>Income</t>
  </si>
  <si>
    <t>off</t>
  </si>
  <si>
    <t>Cash Balance</t>
  </si>
  <si>
    <t>Subtotal</t>
  </si>
  <si>
    <t>Cash Sales</t>
  </si>
  <si>
    <t>Net Profit</t>
  </si>
  <si>
    <t>Credit Card Sales</t>
  </si>
  <si>
    <t>Total</t>
  </si>
  <si>
    <t>Touch N Go</t>
  </si>
  <si>
    <t>Boost</t>
  </si>
  <si>
    <t>Advanced</t>
  </si>
  <si>
    <t>-12 lime juice</t>
  </si>
  <si>
    <t>-22.00gd</t>
  </si>
  <si>
    <t>Maybank QR Pay</t>
  </si>
  <si>
    <t>-22 vitamin</t>
  </si>
  <si>
    <t>-52.00keropok</t>
  </si>
  <si>
    <t>-8.00 mug</t>
  </si>
  <si>
    <t>-38.00 tong</t>
  </si>
  <si>
    <t>-26 keropok</t>
  </si>
  <si>
    <t>-58.00cream</t>
  </si>
  <si>
    <t>-20.00 ubat</t>
  </si>
  <si>
    <t>Foodpanda</t>
  </si>
  <si>
    <t>GrabFood</t>
  </si>
  <si>
    <t>Total Sales</t>
  </si>
  <si>
    <t>Expenses</t>
  </si>
  <si>
    <t>Kum Wah</t>
  </si>
  <si>
    <t>Daily Claim</t>
  </si>
  <si>
    <t>BGS</t>
  </si>
  <si>
    <t>Total Expenses</t>
  </si>
  <si>
    <t>Fund Transfer</t>
  </si>
  <si>
    <t>Cash Transfer</t>
  </si>
  <si>
    <t>Credit Card Transfer</t>
  </si>
  <si>
    <t>Total Transfer</t>
  </si>
  <si>
    <t>(-) Claim</t>
  </si>
  <si>
    <t>Total Cash in Public Bank</t>
  </si>
  <si>
    <t xml:space="preserve">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</si>
</sst>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"/>
    <numFmt numFmtId="166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i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Font="1"/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6" max="6" width="16.88"/>
    <col customWidth="1" min="10" max="10" width="23.25"/>
    <col customWidth="1" min="11" max="11" width="25.63"/>
    <col customWidth="1" min="18" max="18" width="22.5"/>
  </cols>
  <sheetData>
    <row r="2">
      <c r="A2" s="1" t="s">
        <v>0</v>
      </c>
      <c r="B2" s="1" t="s">
        <v>3</v>
      </c>
      <c r="C2" s="1" t="s">
        <v>5</v>
      </c>
      <c r="D2" s="1" t="s">
        <v>6</v>
      </c>
      <c r="E2" s="1" t="s">
        <v>7</v>
      </c>
      <c r="F2" s="1" t="s">
        <v>9</v>
      </c>
      <c r="G2" s="1"/>
      <c r="H2" s="1"/>
      <c r="I2" s="1"/>
    </row>
    <row r="3">
      <c r="A3" s="4">
        <v>44531.0</v>
      </c>
      <c r="B3" s="5">
        <v>1587.8</v>
      </c>
      <c r="C3" s="5">
        <v>2748.3</v>
      </c>
      <c r="D3" s="5">
        <v>280.0</v>
      </c>
      <c r="F3" s="5">
        <v>18.0</v>
      </c>
    </row>
    <row r="4">
      <c r="A4" s="4">
        <v>44532.0</v>
      </c>
      <c r="B4" s="5">
        <v>911.4</v>
      </c>
      <c r="C4" s="5">
        <v>2915.7</v>
      </c>
      <c r="D4" s="5">
        <v>296.0</v>
      </c>
      <c r="F4" s="5">
        <v>81.0</v>
      </c>
    </row>
    <row r="5">
      <c r="A5" s="4">
        <v>44533.0</v>
      </c>
      <c r="B5" s="5">
        <v>1787.3</v>
      </c>
      <c r="C5" s="5">
        <v>975.5</v>
      </c>
      <c r="D5" s="5">
        <v>0.0</v>
      </c>
      <c r="F5" s="5">
        <v>42.0</v>
      </c>
      <c r="U5" s="6"/>
    </row>
    <row r="6">
      <c r="A6" s="4">
        <v>44534.0</v>
      </c>
      <c r="B6" s="5" t="s">
        <v>15</v>
      </c>
      <c r="C6" s="5" t="s">
        <v>15</v>
      </c>
      <c r="D6" s="5" t="s">
        <v>15</v>
      </c>
      <c r="F6" s="5" t="s">
        <v>15</v>
      </c>
      <c r="U6" s="6"/>
    </row>
    <row r="7">
      <c r="A7" s="4">
        <v>44535.0</v>
      </c>
      <c r="B7" s="5">
        <v>1084.6</v>
      </c>
      <c r="C7" s="5">
        <v>1027.7</v>
      </c>
      <c r="D7" s="5">
        <v>160.9</v>
      </c>
      <c r="F7" s="5">
        <v>54.0</v>
      </c>
      <c r="U7" s="6"/>
    </row>
    <row r="8">
      <c r="A8" s="4">
        <v>44536.0</v>
      </c>
      <c r="B8" s="5">
        <v>1453.8</v>
      </c>
      <c r="C8" s="5">
        <v>2268.9</v>
      </c>
      <c r="D8" s="5">
        <v>0.0</v>
      </c>
      <c r="F8" s="5">
        <v>42.0</v>
      </c>
      <c r="U8" s="6"/>
    </row>
    <row r="9">
      <c r="A9" s="4">
        <v>44537.0</v>
      </c>
      <c r="B9" s="5">
        <v>1511.3</v>
      </c>
      <c r="C9" s="5">
        <v>3386.6</v>
      </c>
      <c r="D9" s="5">
        <v>20.9</v>
      </c>
      <c r="E9" s="5">
        <v>-4336.2</v>
      </c>
      <c r="F9" s="5">
        <v>54.0</v>
      </c>
    </row>
    <row r="10">
      <c r="A10" s="4">
        <v>44538.0</v>
      </c>
      <c r="B10" s="5">
        <v>651.6</v>
      </c>
      <c r="C10" s="5">
        <v>2158.3</v>
      </c>
      <c r="D10" s="5">
        <v>0.0</v>
      </c>
      <c r="F10" s="5">
        <v>24.0</v>
      </c>
    </row>
    <row r="11">
      <c r="A11" s="4">
        <v>44539.0</v>
      </c>
      <c r="B11" s="5">
        <v>1403.1</v>
      </c>
      <c r="C11" s="5">
        <v>1383.0</v>
      </c>
      <c r="D11" s="5">
        <v>723.7</v>
      </c>
      <c r="E11" s="5">
        <v>-2054.7</v>
      </c>
      <c r="F11" s="5">
        <v>15.0</v>
      </c>
    </row>
    <row r="12">
      <c r="A12" s="4">
        <v>44540.0</v>
      </c>
      <c r="B12" s="5">
        <v>1168.9</v>
      </c>
      <c r="C12" s="5">
        <v>1675.6</v>
      </c>
      <c r="D12" s="5">
        <v>0.0</v>
      </c>
      <c r="F12" s="5">
        <v>9.0</v>
      </c>
      <c r="U12" s="6"/>
    </row>
    <row r="13">
      <c r="A13" s="4">
        <v>44541.0</v>
      </c>
      <c r="B13" s="5" t="s">
        <v>15</v>
      </c>
      <c r="C13" s="5" t="s">
        <v>15</v>
      </c>
      <c r="D13" s="5" t="s">
        <v>15</v>
      </c>
      <c r="F13" s="5" t="s">
        <v>15</v>
      </c>
    </row>
    <row r="14">
      <c r="A14" s="4">
        <v>44542.0</v>
      </c>
      <c r="B14" s="5">
        <v>903.5</v>
      </c>
      <c r="C14" s="5">
        <v>2274.5</v>
      </c>
      <c r="D14" s="5">
        <v>0.0</v>
      </c>
      <c r="F14" s="5">
        <v>12.0</v>
      </c>
      <c r="U14" s="6"/>
    </row>
    <row r="15">
      <c r="A15" s="4">
        <v>44543.0</v>
      </c>
      <c r="B15" s="5">
        <v>1337.8</v>
      </c>
      <c r="C15" s="5">
        <v>1833.8</v>
      </c>
      <c r="D15" s="5">
        <v>0.0</v>
      </c>
      <c r="F15" s="5">
        <v>63.0</v>
      </c>
    </row>
    <row r="16">
      <c r="A16" s="4">
        <v>44544.0</v>
      </c>
      <c r="B16" s="5">
        <v>2178.8</v>
      </c>
      <c r="C16" s="5">
        <v>1156.4</v>
      </c>
      <c r="D16" s="5">
        <v>160.8</v>
      </c>
      <c r="F16" s="5">
        <v>54.0</v>
      </c>
    </row>
    <row r="17">
      <c r="A17" s="4">
        <v>44545.0</v>
      </c>
      <c r="B17" s="5">
        <v>500.0</v>
      </c>
      <c r="C17" s="5">
        <v>2922.1</v>
      </c>
      <c r="D17" s="5">
        <v>348.6</v>
      </c>
      <c r="F17" s="5">
        <v>90.0</v>
      </c>
    </row>
    <row r="18">
      <c r="A18" s="4">
        <v>44546.0</v>
      </c>
      <c r="B18" s="5">
        <v>353.5</v>
      </c>
      <c r="C18" s="5">
        <v>3044.4</v>
      </c>
      <c r="D18" s="5">
        <v>158.0</v>
      </c>
      <c r="E18" s="5">
        <v>-2942.5</v>
      </c>
      <c r="F18" s="5">
        <v>75.0</v>
      </c>
    </row>
    <row r="19">
      <c r="A19" s="4">
        <v>44547.0</v>
      </c>
      <c r="B19" s="5">
        <v>1196.7</v>
      </c>
      <c r="C19" s="5">
        <v>1608.0</v>
      </c>
      <c r="D19" s="5">
        <v>0.0</v>
      </c>
      <c r="F19" s="5">
        <v>36.0</v>
      </c>
    </row>
    <row r="20">
      <c r="A20" s="4">
        <v>44548.0</v>
      </c>
      <c r="B20" s="5">
        <v>645.4</v>
      </c>
      <c r="C20" s="5">
        <v>2649.8</v>
      </c>
      <c r="D20" s="5">
        <v>0.0</v>
      </c>
      <c r="E20" s="5">
        <v>-842.18</v>
      </c>
      <c r="F20" s="5">
        <v>36.0</v>
      </c>
    </row>
    <row r="21">
      <c r="A21" s="4">
        <v>44549.0</v>
      </c>
      <c r="B21" s="5">
        <v>950.6</v>
      </c>
      <c r="C21" s="5">
        <v>2052.2</v>
      </c>
      <c r="D21" s="5">
        <v>0.0</v>
      </c>
      <c r="F21" s="5">
        <v>57.0</v>
      </c>
    </row>
    <row r="22">
      <c r="A22" s="4">
        <v>44550.0</v>
      </c>
      <c r="B22" s="5">
        <v>2157.0</v>
      </c>
      <c r="C22" s="5">
        <v>645.9</v>
      </c>
      <c r="D22" s="5">
        <v>100.9</v>
      </c>
      <c r="F22" s="5">
        <v>0.0</v>
      </c>
    </row>
    <row r="23">
      <c r="A23" s="4">
        <v>44551.0</v>
      </c>
      <c r="B23" s="5">
        <v>765.6</v>
      </c>
      <c r="C23" s="5">
        <v>2343.8</v>
      </c>
      <c r="D23" s="5">
        <v>132.0</v>
      </c>
      <c r="F23" s="5">
        <v>48.0</v>
      </c>
    </row>
    <row r="24">
      <c r="A24" s="4">
        <v>44552.0</v>
      </c>
      <c r="B24" s="5">
        <v>430.7</v>
      </c>
      <c r="C24" s="5">
        <v>801.4</v>
      </c>
      <c r="D24" s="5">
        <v>0.0</v>
      </c>
      <c r="F24" s="5">
        <v>48.0</v>
      </c>
    </row>
    <row r="25">
      <c r="A25" s="4">
        <v>44553.0</v>
      </c>
      <c r="B25" s="5">
        <v>1227.3</v>
      </c>
      <c r="C25" s="5">
        <v>2409.6</v>
      </c>
      <c r="D25" s="5">
        <v>0.0</v>
      </c>
      <c r="F25" s="5">
        <v>69.0</v>
      </c>
    </row>
    <row r="26">
      <c r="A26" s="4">
        <v>44554.0</v>
      </c>
      <c r="B26" s="5">
        <v>1311.8</v>
      </c>
      <c r="C26" s="5">
        <v>1490.4</v>
      </c>
      <c r="D26" s="5">
        <v>46.7</v>
      </c>
      <c r="F26" s="5">
        <v>99.0</v>
      </c>
    </row>
    <row r="27">
      <c r="A27" s="4">
        <v>44555.0</v>
      </c>
      <c r="B27" s="5" t="s">
        <v>15</v>
      </c>
      <c r="C27" s="5" t="s">
        <v>15</v>
      </c>
      <c r="D27" s="5" t="s">
        <v>15</v>
      </c>
      <c r="F27" s="5" t="s">
        <v>15</v>
      </c>
    </row>
    <row r="28">
      <c r="A28" s="4">
        <v>44556.0</v>
      </c>
      <c r="B28" s="5">
        <v>539.7</v>
      </c>
      <c r="C28" s="5">
        <v>2855.8</v>
      </c>
      <c r="D28" s="5">
        <v>0.0</v>
      </c>
      <c r="E28" s="5">
        <v>-3382.4</v>
      </c>
      <c r="F28" s="5">
        <v>57.0</v>
      </c>
    </row>
    <row r="29">
      <c r="A29" s="4">
        <v>44557.0</v>
      </c>
      <c r="B29" s="5">
        <v>1328.6</v>
      </c>
      <c r="C29" s="5">
        <v>3709.5</v>
      </c>
      <c r="D29" s="5">
        <v>0.0</v>
      </c>
      <c r="F29" s="5">
        <v>81.0</v>
      </c>
    </row>
    <row r="30">
      <c r="A30" s="4">
        <v>44558.0</v>
      </c>
      <c r="B30" s="5">
        <v>1646.6</v>
      </c>
      <c r="C30" s="5">
        <v>1825.4</v>
      </c>
      <c r="D30" s="5">
        <v>472.0</v>
      </c>
      <c r="F30" s="5">
        <v>18.0</v>
      </c>
    </row>
    <row r="31">
      <c r="A31" s="4">
        <v>44559.0</v>
      </c>
      <c r="B31" s="5">
        <v>1016.7</v>
      </c>
      <c r="C31" s="5">
        <v>3018.0</v>
      </c>
      <c r="D31" s="5">
        <v>0.0</v>
      </c>
      <c r="E31" s="5">
        <v>-1991.9</v>
      </c>
      <c r="F31" s="5">
        <v>84.0</v>
      </c>
    </row>
    <row r="32">
      <c r="A32" s="4">
        <v>44560.0</v>
      </c>
      <c r="B32" s="5">
        <v>1544.0</v>
      </c>
      <c r="C32" s="5">
        <v>2288.3</v>
      </c>
      <c r="D32" s="5">
        <v>264.0</v>
      </c>
      <c r="F32" s="5">
        <v>42.0</v>
      </c>
    </row>
    <row r="33">
      <c r="A33" s="4">
        <v>44561.0</v>
      </c>
      <c r="B33" s="5">
        <v>1177.9</v>
      </c>
      <c r="C33" s="5">
        <v>3613.0</v>
      </c>
      <c r="D33" s="5">
        <v>564.9</v>
      </c>
      <c r="E33" s="5">
        <v>-1721.9</v>
      </c>
      <c r="F33" s="5">
        <v>96.0</v>
      </c>
    </row>
    <row r="34">
      <c r="A34" s="5" t="s">
        <v>20</v>
      </c>
      <c r="B34" s="10">
        <f t="shared" ref="B34:D34" si="1">SUM(B3:B33)</f>
        <v>32772</v>
      </c>
      <c r="C34" s="10">
        <f t="shared" si="1"/>
        <v>61081.9</v>
      </c>
      <c r="D34" s="10">
        <f t="shared" si="1"/>
        <v>3729.4</v>
      </c>
      <c r="G34" s="10">
        <f t="shared" ref="G34:H34" si="2">SUM(G3:G32)</f>
        <v>0</v>
      </c>
      <c r="H34" s="10">
        <f t="shared" si="2"/>
        <v>0</v>
      </c>
    </row>
    <row r="35">
      <c r="A35" s="11"/>
    </row>
    <row r="36">
      <c r="A36" s="5" t="s">
        <v>22</v>
      </c>
      <c r="B36" s="10">
        <f>SUM(B34:H34)</f>
        <v>97583.3</v>
      </c>
      <c r="C36" s="5"/>
    </row>
    <row r="37">
      <c r="F37" s="5">
        <v>-1004.0</v>
      </c>
      <c r="J3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</v>
      </c>
      <c r="B2" s="1" t="s">
        <v>4</v>
      </c>
      <c r="C2" s="1" t="s">
        <v>8</v>
      </c>
      <c r="D2" s="1" t="s">
        <v>10</v>
      </c>
      <c r="E2" s="1" t="s">
        <v>11</v>
      </c>
      <c r="F2" s="5" t="s">
        <v>12</v>
      </c>
      <c r="G2" s="1" t="s">
        <v>13</v>
      </c>
      <c r="H2" s="5" t="s">
        <v>14</v>
      </c>
    </row>
    <row r="3">
      <c r="A3" s="4">
        <v>44531.0</v>
      </c>
      <c r="B3" s="5">
        <v>58.2</v>
      </c>
      <c r="C3" s="5">
        <v>11.0</v>
      </c>
      <c r="D3" s="5">
        <v>24.0</v>
      </c>
      <c r="E3" s="5">
        <v>39.1</v>
      </c>
      <c r="F3" s="5">
        <v>0.0</v>
      </c>
      <c r="G3" s="5">
        <v>1.6</v>
      </c>
      <c r="H3" s="5">
        <v>0.0</v>
      </c>
    </row>
    <row r="4">
      <c r="A4" s="4">
        <v>44532.0</v>
      </c>
      <c r="B4" s="5">
        <v>66.0</v>
      </c>
      <c r="C4" s="5">
        <v>19.5</v>
      </c>
      <c r="D4" s="5">
        <v>47.0</v>
      </c>
      <c r="E4" s="5">
        <v>43.0</v>
      </c>
      <c r="F4" s="5">
        <v>0.0</v>
      </c>
      <c r="G4" s="5">
        <v>1.6</v>
      </c>
      <c r="H4" s="5">
        <v>0.0</v>
      </c>
    </row>
    <row r="5">
      <c r="A5" s="4">
        <v>44533.0</v>
      </c>
      <c r="B5" s="5">
        <v>15.1</v>
      </c>
      <c r="C5" s="5" t="s">
        <v>15</v>
      </c>
      <c r="D5" s="5">
        <v>10.25</v>
      </c>
      <c r="E5" s="5">
        <v>10.05</v>
      </c>
      <c r="F5" s="5">
        <v>0.0</v>
      </c>
      <c r="G5" s="5">
        <v>1.1</v>
      </c>
      <c r="H5" s="5">
        <v>0.0</v>
      </c>
    </row>
    <row r="6">
      <c r="A6" s="4">
        <v>44534.0</v>
      </c>
      <c r="B6" s="5" t="s">
        <v>15</v>
      </c>
      <c r="C6" s="5" t="s">
        <v>15</v>
      </c>
      <c r="D6" s="5" t="s">
        <v>15</v>
      </c>
      <c r="E6" s="5" t="s">
        <v>15</v>
      </c>
      <c r="F6" s="5" t="s">
        <v>15</v>
      </c>
      <c r="G6" s="5" t="s">
        <v>15</v>
      </c>
      <c r="H6" s="5" t="s">
        <v>15</v>
      </c>
    </row>
    <row r="7">
      <c r="A7" s="4">
        <v>44535.0</v>
      </c>
      <c r="B7" s="5">
        <v>13.2</v>
      </c>
      <c r="C7" s="5" t="s">
        <v>15</v>
      </c>
      <c r="D7" s="5">
        <v>6.0</v>
      </c>
      <c r="E7" s="5">
        <v>6.6</v>
      </c>
      <c r="F7" s="5">
        <v>0.0</v>
      </c>
      <c r="G7" s="5">
        <v>1.6</v>
      </c>
      <c r="H7" s="5">
        <v>0.0</v>
      </c>
    </row>
    <row r="8">
      <c r="A8" s="4">
        <v>44536.0</v>
      </c>
      <c r="B8" s="5">
        <v>22.0</v>
      </c>
      <c r="C8" s="5">
        <v>13.0</v>
      </c>
      <c r="D8" s="5">
        <v>10.5</v>
      </c>
      <c r="E8" s="5">
        <v>16.0</v>
      </c>
      <c r="F8" s="5">
        <v>0.0</v>
      </c>
      <c r="G8" s="5">
        <v>1.4</v>
      </c>
      <c r="H8" s="5">
        <v>0.0</v>
      </c>
    </row>
    <row r="9">
      <c r="A9" s="4">
        <v>44537.0</v>
      </c>
      <c r="B9" s="5">
        <v>61.0</v>
      </c>
      <c r="C9" s="5">
        <v>24.5</v>
      </c>
      <c r="D9" s="5">
        <v>31.0</v>
      </c>
      <c r="E9" s="5">
        <v>40.5</v>
      </c>
      <c r="F9" s="5">
        <v>0.0</v>
      </c>
      <c r="G9" s="5">
        <v>5.4</v>
      </c>
      <c r="H9" s="5">
        <v>0.0</v>
      </c>
    </row>
    <row r="10">
      <c r="A10" s="4">
        <v>44538.0</v>
      </c>
      <c r="B10" s="5">
        <v>23.0</v>
      </c>
      <c r="C10" s="5">
        <v>7.5</v>
      </c>
      <c r="D10" s="5">
        <v>17.5</v>
      </c>
      <c r="E10" s="5">
        <v>16.5</v>
      </c>
      <c r="F10" s="5">
        <v>0.0</v>
      </c>
      <c r="G10" s="5">
        <v>1.2</v>
      </c>
      <c r="H10" s="5">
        <v>4.2</v>
      </c>
    </row>
    <row r="11">
      <c r="A11" s="4">
        <v>44539.0</v>
      </c>
      <c r="B11" s="5">
        <v>58.0</v>
      </c>
      <c r="C11" s="5">
        <v>7.5</v>
      </c>
      <c r="D11" s="5">
        <v>58.0</v>
      </c>
      <c r="E11" s="5">
        <v>34.0</v>
      </c>
      <c r="F11" s="5">
        <v>0.0</v>
      </c>
      <c r="G11" s="5">
        <v>4.6</v>
      </c>
      <c r="H11" s="5">
        <v>0.0</v>
      </c>
    </row>
    <row r="12">
      <c r="A12" s="4">
        <v>44540.0</v>
      </c>
      <c r="B12" s="5">
        <v>19.6</v>
      </c>
      <c r="C12" s="5">
        <v>21.5</v>
      </c>
      <c r="D12" s="5" t="s">
        <v>18</v>
      </c>
      <c r="E12" s="5">
        <v>12.3</v>
      </c>
      <c r="F12" s="5">
        <v>0.0</v>
      </c>
      <c r="G12" s="5">
        <v>1.3</v>
      </c>
      <c r="H12" s="5">
        <v>0.0</v>
      </c>
    </row>
    <row r="13">
      <c r="A13" s="4">
        <v>44541.0</v>
      </c>
      <c r="B13" s="5" t="s">
        <v>18</v>
      </c>
      <c r="C13" s="5" t="s">
        <v>18</v>
      </c>
      <c r="D13" s="5" t="s">
        <v>18</v>
      </c>
      <c r="E13" s="5" t="s">
        <v>18</v>
      </c>
      <c r="F13" s="5" t="s">
        <v>18</v>
      </c>
      <c r="G13" s="5" t="s">
        <v>18</v>
      </c>
      <c r="H13" s="5" t="s">
        <v>18</v>
      </c>
    </row>
    <row r="14">
      <c r="A14" s="4">
        <v>44542.0</v>
      </c>
      <c r="B14" s="5">
        <v>54.0</v>
      </c>
      <c r="C14" s="5">
        <v>19.0</v>
      </c>
      <c r="D14" s="5">
        <v>39.0</v>
      </c>
      <c r="E14" s="5">
        <v>32.0</v>
      </c>
      <c r="F14" s="5">
        <v>0.0</v>
      </c>
      <c r="G14" s="5">
        <v>2.0</v>
      </c>
      <c r="H14" s="5">
        <v>0.0</v>
      </c>
    </row>
    <row r="15">
      <c r="A15" s="4">
        <v>44543.0</v>
      </c>
      <c r="B15" s="5">
        <v>10.0</v>
      </c>
      <c r="C15" s="5" t="s">
        <v>15</v>
      </c>
      <c r="D15" s="5">
        <v>9.0</v>
      </c>
      <c r="E15" s="5">
        <v>5.0</v>
      </c>
      <c r="F15" s="5">
        <v>0.0</v>
      </c>
      <c r="G15" s="5">
        <v>0.4</v>
      </c>
      <c r="H15" s="5">
        <v>0.0</v>
      </c>
    </row>
    <row r="16">
      <c r="A16" s="4">
        <v>44544.0</v>
      </c>
      <c r="B16" s="5">
        <v>8.0</v>
      </c>
      <c r="C16" s="5">
        <v>7.5</v>
      </c>
      <c r="D16" s="5">
        <v>3.0</v>
      </c>
      <c r="E16" s="5">
        <v>4.0</v>
      </c>
      <c r="F16" s="5">
        <v>0.0</v>
      </c>
      <c r="G16" s="5">
        <v>0.9</v>
      </c>
      <c r="H16" s="5">
        <v>0.0</v>
      </c>
    </row>
    <row r="17">
      <c r="A17" s="4">
        <v>44545.0</v>
      </c>
      <c r="B17" s="5">
        <v>57.0</v>
      </c>
      <c r="C17" s="5">
        <v>13.0</v>
      </c>
      <c r="D17" s="5">
        <v>16.0</v>
      </c>
      <c r="E17" s="5">
        <v>48.5</v>
      </c>
      <c r="F17" s="5">
        <v>0.0</v>
      </c>
      <c r="G17" s="5">
        <v>3.2</v>
      </c>
      <c r="H17" s="5">
        <v>0.0</v>
      </c>
    </row>
    <row r="18">
      <c r="A18" s="4">
        <v>44546.0</v>
      </c>
      <c r="B18" s="5">
        <v>46.8</v>
      </c>
      <c r="C18" s="5">
        <v>7.5</v>
      </c>
      <c r="D18" s="5">
        <v>42.6</v>
      </c>
      <c r="E18" s="5">
        <v>23.4</v>
      </c>
      <c r="F18" s="5">
        <v>0.0</v>
      </c>
      <c r="G18" s="5">
        <v>4.0</v>
      </c>
      <c r="H18" s="5">
        <v>0.0</v>
      </c>
    </row>
    <row r="19">
      <c r="A19" s="4">
        <v>44547.0</v>
      </c>
      <c r="B19" s="5">
        <v>10.9</v>
      </c>
      <c r="C19" s="5" t="s">
        <v>18</v>
      </c>
      <c r="D19" s="5">
        <v>8.4</v>
      </c>
      <c r="E19" s="5">
        <v>5.45</v>
      </c>
      <c r="F19" s="5">
        <v>0.0</v>
      </c>
      <c r="G19" s="5">
        <v>0.7</v>
      </c>
      <c r="H19" s="5">
        <v>0.0</v>
      </c>
    </row>
    <row r="20">
      <c r="A20" s="4">
        <v>44548.0</v>
      </c>
      <c r="B20" s="5">
        <v>43.4</v>
      </c>
      <c r="C20" s="5" t="s">
        <v>15</v>
      </c>
      <c r="D20" s="5">
        <v>31.2</v>
      </c>
      <c r="E20" s="5">
        <v>21.7</v>
      </c>
      <c r="F20" s="5">
        <v>0.0</v>
      </c>
      <c r="G20" s="5">
        <v>3.0</v>
      </c>
      <c r="H20" s="5">
        <v>0.0</v>
      </c>
    </row>
    <row r="21">
      <c r="A21" s="4">
        <v>44549.0</v>
      </c>
      <c r="B21" s="5">
        <v>47.2</v>
      </c>
      <c r="C21" s="5">
        <v>13.0</v>
      </c>
      <c r="D21" s="5">
        <v>9.0</v>
      </c>
      <c r="E21" s="5">
        <v>33.6</v>
      </c>
      <c r="F21" s="5">
        <v>0.0</v>
      </c>
      <c r="G21" s="5">
        <v>2.6</v>
      </c>
      <c r="H21" s="5">
        <v>0.0</v>
      </c>
    </row>
    <row r="22">
      <c r="A22" s="4">
        <v>44550.0</v>
      </c>
      <c r="B22" s="5">
        <v>5.7</v>
      </c>
      <c r="C22" s="5">
        <v>1.5</v>
      </c>
      <c r="D22" s="5">
        <v>3.0</v>
      </c>
      <c r="E22" s="5">
        <v>2.85</v>
      </c>
      <c r="F22" s="5">
        <v>0.0</v>
      </c>
      <c r="G22" s="5">
        <v>0.5</v>
      </c>
      <c r="H22" s="5">
        <v>11.1</v>
      </c>
    </row>
    <row r="23">
      <c r="A23" s="4">
        <v>44551.0</v>
      </c>
      <c r="B23" s="5">
        <v>43.8</v>
      </c>
      <c r="C23" s="5">
        <v>12.0</v>
      </c>
      <c r="D23" s="5">
        <v>30.0</v>
      </c>
      <c r="E23" s="5">
        <v>21.9</v>
      </c>
      <c r="F23" s="5">
        <v>0.0</v>
      </c>
      <c r="G23" s="5">
        <v>2.2</v>
      </c>
      <c r="H23" s="5">
        <v>0.0</v>
      </c>
    </row>
    <row r="24">
      <c r="A24" s="4">
        <v>44552.0</v>
      </c>
      <c r="B24" s="5">
        <v>6.1</v>
      </c>
      <c r="C24" s="5" t="s">
        <v>18</v>
      </c>
      <c r="D24" s="5">
        <v>4.5</v>
      </c>
      <c r="E24" s="5">
        <v>3.05</v>
      </c>
      <c r="F24" s="5">
        <v>0.0</v>
      </c>
      <c r="G24" s="5">
        <v>1.3</v>
      </c>
      <c r="H24" s="5">
        <v>0.0</v>
      </c>
    </row>
    <row r="25">
      <c r="A25" s="4">
        <v>44553.0</v>
      </c>
      <c r="B25" s="5">
        <v>17.5</v>
      </c>
      <c r="C25" s="5" t="s">
        <v>15</v>
      </c>
      <c r="D25" s="5">
        <v>9.75</v>
      </c>
      <c r="E25" s="5">
        <v>8.75</v>
      </c>
      <c r="F25" s="5">
        <v>0.0</v>
      </c>
      <c r="G25" s="5">
        <v>1.3</v>
      </c>
      <c r="H25" s="5">
        <v>0.0</v>
      </c>
    </row>
    <row r="26">
      <c r="A26" s="4">
        <v>44554.0</v>
      </c>
      <c r="B26" s="5">
        <v>11.9</v>
      </c>
      <c r="C26" s="5" t="s">
        <v>15</v>
      </c>
      <c r="D26" s="5">
        <v>13.5</v>
      </c>
      <c r="E26" s="5">
        <v>5.95</v>
      </c>
      <c r="F26" s="5">
        <v>0.0</v>
      </c>
      <c r="G26" s="5">
        <v>0.9</v>
      </c>
      <c r="H26" s="5">
        <v>0.0</v>
      </c>
    </row>
    <row r="27">
      <c r="A27" s="4">
        <v>44555.0</v>
      </c>
      <c r="B27" s="5" t="s">
        <v>15</v>
      </c>
      <c r="C27" s="5" t="s">
        <v>15</v>
      </c>
      <c r="D27" s="5" t="s">
        <v>15</v>
      </c>
      <c r="E27" s="5" t="s">
        <v>15</v>
      </c>
      <c r="F27" s="5" t="s">
        <v>15</v>
      </c>
      <c r="G27" s="5" t="s">
        <v>15</v>
      </c>
      <c r="H27" s="5" t="s">
        <v>15</v>
      </c>
    </row>
    <row r="28">
      <c r="A28" s="4">
        <v>44556.0</v>
      </c>
      <c r="B28" s="5">
        <v>37.0</v>
      </c>
      <c r="C28" s="5">
        <v>12.75</v>
      </c>
      <c r="D28" s="5">
        <v>24.0</v>
      </c>
      <c r="E28" s="5">
        <v>18.5</v>
      </c>
      <c r="F28" s="5">
        <v>0.0</v>
      </c>
      <c r="G28" s="5">
        <v>4.4</v>
      </c>
      <c r="H28" s="5">
        <v>3.5</v>
      </c>
    </row>
    <row r="29">
      <c r="A29" s="4">
        <v>44557.0</v>
      </c>
      <c r="B29" s="5">
        <v>62.0</v>
      </c>
      <c r="C29" s="5">
        <v>28.0</v>
      </c>
      <c r="D29" s="5">
        <v>18.0</v>
      </c>
      <c r="E29" s="5">
        <v>31.0</v>
      </c>
      <c r="F29" s="5">
        <v>0.0</v>
      </c>
      <c r="G29" s="5">
        <v>2.2</v>
      </c>
      <c r="H29" s="5">
        <v>0.0</v>
      </c>
    </row>
    <row r="30">
      <c r="A30" s="4">
        <v>44558.0</v>
      </c>
      <c r="B30" s="5">
        <v>16.0</v>
      </c>
      <c r="C30" s="5">
        <v>0.0</v>
      </c>
      <c r="D30" s="5">
        <v>18.0</v>
      </c>
      <c r="E30" s="5">
        <v>8.0</v>
      </c>
      <c r="F30" s="5">
        <v>0.0</v>
      </c>
      <c r="G30" s="5">
        <v>1.6</v>
      </c>
      <c r="H30" s="5">
        <v>1.5</v>
      </c>
    </row>
    <row r="31">
      <c r="A31" s="4">
        <v>44559.0</v>
      </c>
      <c r="B31" s="5">
        <v>28.0</v>
      </c>
      <c r="C31" s="5" t="s">
        <v>15</v>
      </c>
      <c r="D31" s="5">
        <v>18.0</v>
      </c>
      <c r="E31" s="5">
        <v>14.0</v>
      </c>
      <c r="F31" s="5">
        <v>0.0</v>
      </c>
      <c r="G31" s="5">
        <v>2.8</v>
      </c>
      <c r="H31" s="5">
        <v>0.0</v>
      </c>
    </row>
    <row r="32">
      <c r="A32" s="4">
        <v>44560.0</v>
      </c>
      <c r="B32" s="5">
        <v>47.6</v>
      </c>
      <c r="C32" s="5">
        <v>13.5</v>
      </c>
      <c r="D32" s="5">
        <v>20.4</v>
      </c>
      <c r="E32" s="5">
        <v>28.8</v>
      </c>
      <c r="F32" s="5">
        <v>0.0</v>
      </c>
      <c r="G32" s="5">
        <v>1.4</v>
      </c>
      <c r="H32" s="5">
        <v>0.0</v>
      </c>
    </row>
    <row r="33">
      <c r="A33" s="4">
        <v>44561.0</v>
      </c>
      <c r="B33" s="5">
        <v>68.4</v>
      </c>
      <c r="C33" s="5" t="s">
        <v>15</v>
      </c>
      <c r="D33" s="5">
        <v>42.0</v>
      </c>
      <c r="E33" s="5">
        <v>39.2</v>
      </c>
      <c r="F33" s="5">
        <v>0.0</v>
      </c>
      <c r="G33" s="5">
        <v>6.4</v>
      </c>
      <c r="H33" s="5">
        <v>0.0</v>
      </c>
    </row>
    <row r="35">
      <c r="A35" s="5" t="s">
        <v>24</v>
      </c>
      <c r="B35" s="10">
        <f t="shared" ref="B35:C35" si="1">SUM(B3:B33)</f>
        <v>957.4</v>
      </c>
      <c r="C35" s="10">
        <f t="shared" si="1"/>
        <v>232.25</v>
      </c>
      <c r="E35" s="10">
        <f>SUM(E3:E33)</f>
        <v>573.7</v>
      </c>
    </row>
    <row r="36">
      <c r="A36" s="5" t="s">
        <v>27</v>
      </c>
      <c r="D36" s="5" t="s">
        <v>28</v>
      </c>
      <c r="E36" s="5" t="s">
        <v>29</v>
      </c>
    </row>
    <row r="37">
      <c r="E37" s="5" t="s">
        <v>31</v>
      </c>
    </row>
    <row r="38">
      <c r="E38" s="5" t="s">
        <v>32</v>
      </c>
    </row>
    <row r="39">
      <c r="E39" s="5" t="s">
        <v>33</v>
      </c>
    </row>
    <row r="40">
      <c r="E40" s="5" t="s">
        <v>34</v>
      </c>
    </row>
    <row r="41">
      <c r="E41" s="5" t="s">
        <v>35</v>
      </c>
    </row>
    <row r="42">
      <c r="E42" s="5" t="s">
        <v>36</v>
      </c>
    </row>
    <row r="43">
      <c r="E43" s="5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3" t="s">
        <v>16</v>
      </c>
      <c r="B3" s="7">
        <v>44896.0</v>
      </c>
      <c r="C3" s="7">
        <v>44897.0</v>
      </c>
      <c r="D3" s="7">
        <v>44898.0</v>
      </c>
      <c r="E3" s="7">
        <v>44899.0</v>
      </c>
      <c r="F3" s="7">
        <v>44900.0</v>
      </c>
      <c r="G3" s="7">
        <v>44901.0</v>
      </c>
      <c r="H3" s="7">
        <v>44902.0</v>
      </c>
      <c r="I3" s="7">
        <v>44903.0</v>
      </c>
      <c r="J3" s="7">
        <v>44904.0</v>
      </c>
      <c r="K3" s="7">
        <v>44905.0</v>
      </c>
      <c r="L3" s="7">
        <v>44906.0</v>
      </c>
      <c r="M3" s="7">
        <v>44907.0</v>
      </c>
      <c r="N3" s="7">
        <v>44908.0</v>
      </c>
      <c r="O3" s="7">
        <v>44909.0</v>
      </c>
      <c r="P3" s="7">
        <v>44910.0</v>
      </c>
      <c r="Q3" s="7">
        <v>44911.0</v>
      </c>
      <c r="R3" s="7">
        <v>44912.0</v>
      </c>
      <c r="S3" s="7">
        <v>44913.0</v>
      </c>
      <c r="T3" s="7">
        <v>44914.0</v>
      </c>
      <c r="U3" s="7">
        <v>44915.0</v>
      </c>
      <c r="V3" s="7">
        <v>44916.0</v>
      </c>
      <c r="W3" s="7">
        <v>44917.0</v>
      </c>
      <c r="X3" s="7">
        <v>44918.0</v>
      </c>
      <c r="Y3" s="7">
        <v>44919.0</v>
      </c>
      <c r="Z3" s="7">
        <v>44920.0</v>
      </c>
      <c r="AA3" s="7">
        <v>44921.0</v>
      </c>
      <c r="AB3" s="7">
        <v>44922.0</v>
      </c>
      <c r="AC3" s="7">
        <v>44923.0</v>
      </c>
      <c r="AD3" s="7">
        <v>44924.0</v>
      </c>
      <c r="AE3" s="7">
        <v>44925.0</v>
      </c>
      <c r="AF3" s="7">
        <v>44926.0</v>
      </c>
    </row>
    <row r="4">
      <c r="A4" s="8" t="s">
        <v>17</v>
      </c>
    </row>
    <row r="5">
      <c r="A5" s="2" t="s">
        <v>19</v>
      </c>
      <c r="B5" s="9">
        <v>23668.99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3" t="s">
        <v>21</v>
      </c>
      <c r="B6" s="9">
        <v>587.8</v>
      </c>
      <c r="C6" s="9">
        <v>911.4</v>
      </c>
      <c r="D6" s="9">
        <v>787.3</v>
      </c>
      <c r="E6" s="9">
        <v>0.0</v>
      </c>
      <c r="F6" s="9">
        <v>1084.6</v>
      </c>
      <c r="G6" s="9">
        <v>453.8</v>
      </c>
      <c r="H6" s="9">
        <v>511.3</v>
      </c>
      <c r="I6" s="9">
        <v>651.6</v>
      </c>
      <c r="J6" s="9">
        <v>1403.1</v>
      </c>
      <c r="K6" s="9">
        <v>1168.9</v>
      </c>
      <c r="L6" s="9">
        <v>0.0</v>
      </c>
      <c r="M6" s="9">
        <v>903.5</v>
      </c>
      <c r="N6" s="9">
        <v>337.8</v>
      </c>
      <c r="O6" s="9">
        <v>178.8</v>
      </c>
      <c r="P6" s="9">
        <v>0.0</v>
      </c>
      <c r="Q6" s="9">
        <v>353.5</v>
      </c>
      <c r="R6" s="9">
        <v>196.7</v>
      </c>
      <c r="S6" s="9">
        <v>645.4</v>
      </c>
      <c r="T6" s="9">
        <v>950.6</v>
      </c>
      <c r="U6" s="9">
        <v>157.0</v>
      </c>
      <c r="V6" s="9">
        <v>765.6</v>
      </c>
      <c r="W6" s="9">
        <v>430.7</v>
      </c>
      <c r="X6" s="9">
        <v>227.3</v>
      </c>
      <c r="Y6" s="9">
        <v>311.8</v>
      </c>
      <c r="Z6" s="9">
        <v>0.0</v>
      </c>
      <c r="AA6" s="9">
        <v>539.4</v>
      </c>
      <c r="AB6" s="9">
        <v>328.6</v>
      </c>
      <c r="AC6" s="9">
        <v>646.6</v>
      </c>
      <c r="AD6" s="9">
        <v>1016.7</v>
      </c>
      <c r="AE6" s="9">
        <v>544.0</v>
      </c>
      <c r="AF6" s="9">
        <v>1177.9</v>
      </c>
    </row>
    <row r="7">
      <c r="A7" s="3" t="s">
        <v>23</v>
      </c>
      <c r="B7" s="9">
        <v>2748.3</v>
      </c>
      <c r="C7" s="9">
        <v>2915.7</v>
      </c>
      <c r="D7" s="9">
        <v>975.5</v>
      </c>
      <c r="E7" s="9">
        <v>0.0</v>
      </c>
      <c r="F7" s="9">
        <v>1027.7</v>
      </c>
      <c r="G7" s="9">
        <v>2268.9</v>
      </c>
      <c r="H7" s="9">
        <v>3386.6</v>
      </c>
      <c r="I7" s="9">
        <v>2158.3</v>
      </c>
      <c r="J7" s="9">
        <v>1383.0</v>
      </c>
      <c r="K7" s="9">
        <v>1675.6</v>
      </c>
      <c r="L7" s="9">
        <v>0.0</v>
      </c>
      <c r="M7" s="9">
        <v>2274.5</v>
      </c>
      <c r="N7" s="9">
        <v>1833.8</v>
      </c>
      <c r="O7" s="9">
        <v>1156.4</v>
      </c>
      <c r="P7" s="9">
        <v>2922.1</v>
      </c>
      <c r="Q7" s="9">
        <v>3044.4</v>
      </c>
      <c r="R7" s="9">
        <v>1608.0</v>
      </c>
      <c r="S7" s="9">
        <v>2649.8</v>
      </c>
      <c r="T7" s="9">
        <v>2052.2</v>
      </c>
      <c r="U7" s="9">
        <v>645.9</v>
      </c>
      <c r="V7" s="9">
        <v>2343.8</v>
      </c>
      <c r="W7" s="9">
        <v>801.4</v>
      </c>
      <c r="X7" s="9">
        <v>2409.6</v>
      </c>
      <c r="Y7" s="9">
        <v>1490.4</v>
      </c>
      <c r="Z7" s="9">
        <v>0.0</v>
      </c>
      <c r="AA7" s="9">
        <v>2855.8</v>
      </c>
      <c r="AB7" s="9">
        <v>3709.5</v>
      </c>
      <c r="AC7" s="9">
        <v>1825.4</v>
      </c>
      <c r="AD7" s="9">
        <v>3018.0</v>
      </c>
      <c r="AE7" s="9">
        <v>2288.3</v>
      </c>
      <c r="AF7" s="9">
        <v>3613.0</v>
      </c>
    </row>
    <row r="8">
      <c r="A8" s="3" t="s">
        <v>25</v>
      </c>
      <c r="B8" s="9">
        <v>280.0</v>
      </c>
      <c r="C8" s="9">
        <v>296.0</v>
      </c>
      <c r="D8" s="9">
        <v>0.0</v>
      </c>
      <c r="E8" s="9">
        <v>0.0</v>
      </c>
      <c r="F8" s="9">
        <v>160.9</v>
      </c>
      <c r="G8" s="9">
        <v>0.0</v>
      </c>
      <c r="H8" s="9">
        <v>20.9</v>
      </c>
      <c r="I8" s="9">
        <v>0.0</v>
      </c>
      <c r="J8" s="9">
        <v>723.7</v>
      </c>
      <c r="K8" s="9">
        <v>0.0</v>
      </c>
      <c r="L8" s="9">
        <v>0.0</v>
      </c>
      <c r="M8" s="9">
        <v>0.0</v>
      </c>
      <c r="N8" s="9">
        <v>0.0</v>
      </c>
      <c r="O8" s="9">
        <v>160.8</v>
      </c>
      <c r="P8" s="9">
        <v>348.6</v>
      </c>
      <c r="Q8" s="9">
        <v>158.0</v>
      </c>
      <c r="R8" s="9">
        <v>0.0</v>
      </c>
      <c r="S8" s="9">
        <v>0.0</v>
      </c>
      <c r="T8" s="9">
        <v>0.0</v>
      </c>
      <c r="U8" s="9">
        <v>100.9</v>
      </c>
      <c r="V8" s="9">
        <v>132.0</v>
      </c>
      <c r="W8" s="9">
        <v>0.0</v>
      </c>
      <c r="X8" s="9">
        <v>0.0</v>
      </c>
      <c r="Y8" s="9">
        <v>46.7</v>
      </c>
      <c r="Z8" s="9">
        <v>0.0</v>
      </c>
      <c r="AA8" s="9">
        <v>0.0</v>
      </c>
      <c r="AB8" s="9">
        <v>0.0</v>
      </c>
      <c r="AC8" s="9">
        <v>472.0</v>
      </c>
      <c r="AD8" s="9">
        <v>0.0</v>
      </c>
      <c r="AE8" s="9">
        <v>264.0</v>
      </c>
      <c r="AF8" s="9">
        <v>564.9</v>
      </c>
    </row>
    <row r="9">
      <c r="A9" s="3" t="s">
        <v>26</v>
      </c>
      <c r="B9" s="9">
        <v>0.0</v>
      </c>
      <c r="C9" s="9">
        <v>0.0</v>
      </c>
      <c r="D9" s="9">
        <v>0.0</v>
      </c>
      <c r="E9" s="9">
        <v>0.0</v>
      </c>
      <c r="F9" s="9">
        <v>0.0</v>
      </c>
      <c r="G9" s="9">
        <v>0.0</v>
      </c>
      <c r="H9" s="9">
        <v>0.0</v>
      </c>
      <c r="I9" s="9">
        <v>0.0</v>
      </c>
      <c r="J9" s="9">
        <v>0.0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9">
        <v>0.0</v>
      </c>
      <c r="AA9" s="9">
        <v>0.0</v>
      </c>
      <c r="AB9" s="9">
        <v>0.0</v>
      </c>
      <c r="AC9" s="9">
        <v>0.0</v>
      </c>
      <c r="AD9" s="9">
        <v>0.0</v>
      </c>
      <c r="AE9" s="9">
        <v>0.0</v>
      </c>
      <c r="AF9" s="9">
        <v>0.0</v>
      </c>
    </row>
    <row r="10">
      <c r="A10" s="3" t="s">
        <v>30</v>
      </c>
      <c r="B10" s="9">
        <v>0.0</v>
      </c>
      <c r="C10" s="9">
        <v>0.0</v>
      </c>
      <c r="D10" s="9">
        <v>0.0</v>
      </c>
      <c r="E10" s="9">
        <v>0.0</v>
      </c>
      <c r="F10" s="9">
        <v>0.0</v>
      </c>
      <c r="G10" s="9">
        <v>0.0</v>
      </c>
      <c r="H10" s="9">
        <v>0.0</v>
      </c>
      <c r="I10" s="9">
        <v>0.0</v>
      </c>
      <c r="J10" s="9">
        <v>0.0</v>
      </c>
      <c r="K10" s="9">
        <v>0.0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v>0.0</v>
      </c>
      <c r="T10" s="9">
        <v>0.0</v>
      </c>
      <c r="U10" s="9">
        <v>0.0</v>
      </c>
      <c r="V10" s="9">
        <v>0.0</v>
      </c>
      <c r="W10" s="9">
        <v>0.0</v>
      </c>
      <c r="X10" s="9">
        <v>0.0</v>
      </c>
      <c r="Y10" s="9">
        <v>0.0</v>
      </c>
      <c r="Z10" s="9">
        <v>0.0</v>
      </c>
      <c r="AA10" s="9">
        <v>0.0</v>
      </c>
      <c r="AB10" s="9">
        <v>0.0</v>
      </c>
      <c r="AC10" s="9">
        <v>0.0</v>
      </c>
      <c r="AD10" s="9">
        <v>0.0</v>
      </c>
      <c r="AE10" s="9">
        <v>0.0</v>
      </c>
      <c r="AF10" s="9">
        <v>0.0</v>
      </c>
    </row>
    <row r="11">
      <c r="A11" s="3" t="s">
        <v>38</v>
      </c>
      <c r="B11" s="9">
        <v>0.0</v>
      </c>
      <c r="C11" s="9">
        <v>0.0</v>
      </c>
      <c r="D11" s="9">
        <v>0.0</v>
      </c>
      <c r="E11" s="9">
        <v>0.0</v>
      </c>
      <c r="F11" s="9">
        <v>0.0</v>
      </c>
      <c r="G11" s="9">
        <v>0.0</v>
      </c>
      <c r="H11" s="9">
        <v>0.0</v>
      </c>
      <c r="I11" s="9">
        <v>0.0</v>
      </c>
      <c r="J11" s="9">
        <v>0.0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v>0.0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9">
        <v>0.0</v>
      </c>
      <c r="AA11" s="9">
        <v>0.0</v>
      </c>
      <c r="AB11" s="9">
        <v>0.0</v>
      </c>
      <c r="AC11" s="9">
        <v>0.0</v>
      </c>
      <c r="AD11" s="9">
        <v>0.0</v>
      </c>
      <c r="AE11" s="9">
        <v>0.0</v>
      </c>
      <c r="AF11" s="9">
        <v>0.0</v>
      </c>
    </row>
    <row r="12">
      <c r="A12" s="3" t="s">
        <v>39</v>
      </c>
      <c r="B12" s="9">
        <v>0.0</v>
      </c>
      <c r="C12" s="9">
        <v>0.0</v>
      </c>
      <c r="D12" s="9">
        <v>0.0</v>
      </c>
      <c r="E12" s="9">
        <v>0.0</v>
      </c>
      <c r="F12" s="9">
        <v>0.0</v>
      </c>
      <c r="G12" s="9">
        <v>0.0</v>
      </c>
      <c r="H12" s="9">
        <v>0.0</v>
      </c>
      <c r="I12" s="9">
        <v>0.0</v>
      </c>
      <c r="J12" s="9">
        <v>0.0</v>
      </c>
      <c r="K12" s="9">
        <v>0.0</v>
      </c>
      <c r="L12" s="9">
        <v>0.0</v>
      </c>
      <c r="M12" s="9">
        <v>0.0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  <c r="T12" s="9">
        <v>0.0</v>
      </c>
      <c r="U12" s="9">
        <v>0.0</v>
      </c>
      <c r="V12" s="9">
        <v>0.0</v>
      </c>
      <c r="W12" s="9">
        <v>0.0</v>
      </c>
      <c r="X12" s="9">
        <v>0.0</v>
      </c>
      <c r="Y12" s="9">
        <v>0.0</v>
      </c>
      <c r="Z12" s="9">
        <v>0.0</v>
      </c>
      <c r="AA12" s="9">
        <v>0.0</v>
      </c>
      <c r="AB12" s="9">
        <v>0.0</v>
      </c>
      <c r="AC12" s="9">
        <v>0.0</v>
      </c>
      <c r="AD12" s="9">
        <v>0.0</v>
      </c>
      <c r="AE12" s="9">
        <v>0.0</v>
      </c>
      <c r="AF12" s="9">
        <v>0.0</v>
      </c>
    </row>
    <row r="13">
      <c r="A13" s="3" t="s">
        <v>40</v>
      </c>
      <c r="B13" s="12">
        <f t="shared" ref="B13:E13" si="1">SUM(B6:B10)</f>
        <v>3616.1</v>
      </c>
      <c r="C13" s="12">
        <f t="shared" si="1"/>
        <v>4123.1</v>
      </c>
      <c r="D13" s="12">
        <f t="shared" si="1"/>
        <v>1762.8</v>
      </c>
      <c r="E13" s="12">
        <f t="shared" si="1"/>
        <v>0</v>
      </c>
      <c r="F13" s="12">
        <f t="shared" ref="F13:AF13" si="2">SUM(F6:F12)</f>
        <v>2273.2</v>
      </c>
      <c r="G13" s="12">
        <f t="shared" si="2"/>
        <v>2722.7</v>
      </c>
      <c r="H13" s="12">
        <f t="shared" si="2"/>
        <v>3918.8</v>
      </c>
      <c r="I13" s="12">
        <f t="shared" si="2"/>
        <v>2809.9</v>
      </c>
      <c r="J13" s="12">
        <f t="shared" si="2"/>
        <v>3509.8</v>
      </c>
      <c r="K13" s="12">
        <f t="shared" si="2"/>
        <v>2844.5</v>
      </c>
      <c r="L13" s="12">
        <f t="shared" si="2"/>
        <v>0</v>
      </c>
      <c r="M13" s="12">
        <f t="shared" si="2"/>
        <v>3178</v>
      </c>
      <c r="N13" s="12">
        <f t="shared" si="2"/>
        <v>2171.6</v>
      </c>
      <c r="O13" s="12">
        <f t="shared" si="2"/>
        <v>1496</v>
      </c>
      <c r="P13" s="12">
        <f t="shared" si="2"/>
        <v>3270.7</v>
      </c>
      <c r="Q13" s="12">
        <f t="shared" si="2"/>
        <v>3555.9</v>
      </c>
      <c r="R13" s="12">
        <f t="shared" si="2"/>
        <v>1804.7</v>
      </c>
      <c r="S13" s="12">
        <f t="shared" si="2"/>
        <v>3295.2</v>
      </c>
      <c r="T13" s="12">
        <f t="shared" si="2"/>
        <v>3002.8</v>
      </c>
      <c r="U13" s="12">
        <f t="shared" si="2"/>
        <v>903.8</v>
      </c>
      <c r="V13" s="12">
        <f t="shared" si="2"/>
        <v>3241.4</v>
      </c>
      <c r="W13" s="12">
        <f t="shared" si="2"/>
        <v>1232.1</v>
      </c>
      <c r="X13" s="12">
        <f t="shared" si="2"/>
        <v>2636.9</v>
      </c>
      <c r="Y13" s="12">
        <f t="shared" si="2"/>
        <v>1848.9</v>
      </c>
      <c r="Z13" s="12">
        <f t="shared" si="2"/>
        <v>0</v>
      </c>
      <c r="AA13" s="12">
        <f t="shared" si="2"/>
        <v>3395.2</v>
      </c>
      <c r="AB13" s="12">
        <f t="shared" si="2"/>
        <v>4038.1</v>
      </c>
      <c r="AC13" s="12">
        <f t="shared" si="2"/>
        <v>2944</v>
      </c>
      <c r="AD13" s="12">
        <f t="shared" si="2"/>
        <v>4034.7</v>
      </c>
      <c r="AE13" s="12">
        <f t="shared" si="2"/>
        <v>3096.3</v>
      </c>
      <c r="AF13" s="12">
        <f t="shared" si="2"/>
        <v>5355.8</v>
      </c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8" t="s">
        <v>41</v>
      </c>
    </row>
    <row r="16">
      <c r="A16" s="3" t="s">
        <v>42</v>
      </c>
      <c r="B16" s="9">
        <v>0.0</v>
      </c>
      <c r="C16" s="9">
        <v>0.0</v>
      </c>
      <c r="D16" s="9">
        <v>0.0</v>
      </c>
      <c r="E16" s="9">
        <v>5078.3</v>
      </c>
      <c r="F16" s="9">
        <v>15000.0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</row>
    <row r="17">
      <c r="A17" s="3" t="s">
        <v>43</v>
      </c>
      <c r="B17" s="9">
        <v>2239.3</v>
      </c>
      <c r="C17" s="9">
        <v>0.0</v>
      </c>
      <c r="D17" s="9">
        <v>0.0</v>
      </c>
      <c r="E17" s="9">
        <v>13665.0</v>
      </c>
      <c r="F17" s="9">
        <v>90.0</v>
      </c>
      <c r="G17" s="9">
        <v>280.0</v>
      </c>
      <c r="H17" s="9">
        <v>1625.02</v>
      </c>
      <c r="I17" s="9">
        <v>2885.05</v>
      </c>
      <c r="J17" s="9">
        <v>0.0</v>
      </c>
      <c r="K17" s="9">
        <v>167.45</v>
      </c>
      <c r="L17" s="9">
        <v>0.0</v>
      </c>
      <c r="M17" s="9">
        <v>0.0</v>
      </c>
      <c r="N17" s="9">
        <v>0.0</v>
      </c>
      <c r="O17" s="9">
        <v>0.0</v>
      </c>
      <c r="P17" s="9">
        <v>3353.41</v>
      </c>
      <c r="Q17" s="9">
        <v>74.85</v>
      </c>
      <c r="R17" s="9">
        <v>0.0</v>
      </c>
      <c r="S17" s="9">
        <v>1080.0</v>
      </c>
      <c r="T17" s="9">
        <v>19719.6</v>
      </c>
      <c r="U17" s="9">
        <v>0.0</v>
      </c>
      <c r="V17" s="9">
        <v>0.0</v>
      </c>
      <c r="W17" s="9">
        <v>0.0</v>
      </c>
      <c r="X17" s="9">
        <v>1334.7</v>
      </c>
      <c r="Y17" s="9">
        <v>0.0</v>
      </c>
      <c r="Z17" s="9">
        <v>0.0</v>
      </c>
      <c r="AA17" s="9">
        <v>0.0</v>
      </c>
      <c r="AB17" s="9">
        <v>0.0</v>
      </c>
      <c r="AC17" s="9">
        <v>0.0</v>
      </c>
      <c r="AD17" s="9">
        <v>0.0</v>
      </c>
      <c r="AE17" s="9">
        <v>0.0</v>
      </c>
      <c r="AF17" s="9">
        <v>0.0</v>
      </c>
    </row>
    <row r="18">
      <c r="A18" s="3" t="s">
        <v>44</v>
      </c>
      <c r="B18" s="9">
        <v>0.0</v>
      </c>
      <c r="C18" s="9">
        <v>0.0</v>
      </c>
      <c r="D18" s="9">
        <v>0.0</v>
      </c>
      <c r="E18" s="9"/>
      <c r="F18" s="9">
        <v>0.0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  <c r="T18" s="9">
        <v>0.0</v>
      </c>
      <c r="U18" s="9">
        <v>0.0</v>
      </c>
      <c r="V18" s="9">
        <v>0.0</v>
      </c>
      <c r="W18" s="9">
        <v>0.0</v>
      </c>
      <c r="X18" s="9">
        <v>2582.32</v>
      </c>
      <c r="Y18" s="9">
        <v>0.0</v>
      </c>
      <c r="Z18" s="9">
        <v>0.0</v>
      </c>
      <c r="AA18" s="9">
        <v>0.0</v>
      </c>
      <c r="AB18" s="9">
        <v>0.0</v>
      </c>
      <c r="AC18" s="9">
        <v>0.0</v>
      </c>
      <c r="AD18" s="9">
        <v>0.0</v>
      </c>
      <c r="AE18" s="9">
        <v>0.0</v>
      </c>
      <c r="AF18" s="9">
        <v>0.0</v>
      </c>
    </row>
    <row r="19">
      <c r="A19" s="3" t="s">
        <v>45</v>
      </c>
      <c r="B19" s="12">
        <f t="shared" ref="B19:AF19" si="3">SUM(B16:B18)</f>
        <v>2239.3</v>
      </c>
      <c r="C19" s="12">
        <f t="shared" si="3"/>
        <v>0</v>
      </c>
      <c r="D19" s="12">
        <f t="shared" si="3"/>
        <v>0</v>
      </c>
      <c r="E19" s="12">
        <f t="shared" si="3"/>
        <v>18743.3</v>
      </c>
      <c r="F19" s="12">
        <f t="shared" si="3"/>
        <v>15090</v>
      </c>
      <c r="G19" s="12">
        <f t="shared" si="3"/>
        <v>280</v>
      </c>
      <c r="H19" s="12">
        <f t="shared" si="3"/>
        <v>1625.02</v>
      </c>
      <c r="I19" s="12">
        <f t="shared" si="3"/>
        <v>2885.05</v>
      </c>
      <c r="J19" s="12">
        <f t="shared" si="3"/>
        <v>0</v>
      </c>
      <c r="K19" s="12">
        <f t="shared" si="3"/>
        <v>167.45</v>
      </c>
      <c r="L19" s="12">
        <f t="shared" si="3"/>
        <v>0</v>
      </c>
      <c r="M19" s="12">
        <f t="shared" si="3"/>
        <v>0</v>
      </c>
      <c r="N19" s="12">
        <f t="shared" si="3"/>
        <v>0</v>
      </c>
      <c r="O19" s="12">
        <f t="shared" si="3"/>
        <v>0</v>
      </c>
      <c r="P19" s="12">
        <f t="shared" si="3"/>
        <v>3353.41</v>
      </c>
      <c r="Q19" s="12">
        <f t="shared" si="3"/>
        <v>74.85</v>
      </c>
      <c r="R19" s="12">
        <f t="shared" si="3"/>
        <v>0</v>
      </c>
      <c r="S19" s="12">
        <f t="shared" si="3"/>
        <v>1080</v>
      </c>
      <c r="T19" s="12">
        <f t="shared" si="3"/>
        <v>19719.6</v>
      </c>
      <c r="U19" s="12">
        <f t="shared" si="3"/>
        <v>0</v>
      </c>
      <c r="V19" s="12">
        <f t="shared" si="3"/>
        <v>0</v>
      </c>
      <c r="W19" s="12">
        <f t="shared" si="3"/>
        <v>0</v>
      </c>
      <c r="X19" s="12">
        <f t="shared" si="3"/>
        <v>3917.02</v>
      </c>
      <c r="Y19" s="12">
        <f t="shared" si="3"/>
        <v>0</v>
      </c>
      <c r="Z19" s="12">
        <f t="shared" si="3"/>
        <v>0</v>
      </c>
      <c r="AA19" s="12">
        <f t="shared" si="3"/>
        <v>0</v>
      </c>
      <c r="AB19" s="12">
        <f t="shared" si="3"/>
        <v>0</v>
      </c>
      <c r="AC19" s="12">
        <f t="shared" si="3"/>
        <v>0</v>
      </c>
      <c r="AD19" s="12">
        <f t="shared" si="3"/>
        <v>0</v>
      </c>
      <c r="AE19" s="12">
        <f t="shared" si="3"/>
        <v>0</v>
      </c>
      <c r="AF19" s="12">
        <f t="shared" si="3"/>
        <v>0</v>
      </c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13" t="s">
        <v>46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3" t="s">
        <v>47</v>
      </c>
      <c r="B22" s="12">
        <v>0.0</v>
      </c>
      <c r="C22" s="12">
        <v>0.0</v>
      </c>
      <c r="D22" s="12">
        <v>0.0</v>
      </c>
      <c r="E22" s="12">
        <v>0.0</v>
      </c>
      <c r="F22" s="12">
        <v>0.0</v>
      </c>
      <c r="G22" s="12">
        <v>0.0</v>
      </c>
      <c r="H22" s="9">
        <v>0.3</v>
      </c>
      <c r="I22" s="12">
        <v>0.0</v>
      </c>
      <c r="J22" s="12">
        <v>0.0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  <c r="S22" s="12">
        <v>0.0</v>
      </c>
      <c r="T22" s="12">
        <v>0.0</v>
      </c>
      <c r="U22" s="12">
        <v>0.0</v>
      </c>
      <c r="V22" s="12">
        <v>0.0</v>
      </c>
      <c r="W22" s="12">
        <v>0.0</v>
      </c>
      <c r="X22" s="12">
        <v>0.0</v>
      </c>
      <c r="Y22" s="12">
        <v>0.0</v>
      </c>
      <c r="Z22" s="12">
        <v>0.0</v>
      </c>
      <c r="AA22" s="12">
        <v>0.0</v>
      </c>
      <c r="AB22" s="12">
        <v>0.0</v>
      </c>
      <c r="AC22" s="12">
        <v>0.0</v>
      </c>
      <c r="AD22" s="12">
        <v>0.0</v>
      </c>
      <c r="AE22" s="12">
        <v>0.0</v>
      </c>
      <c r="AF22" s="12">
        <v>0.0</v>
      </c>
    </row>
    <row r="23">
      <c r="A23" s="3" t="s">
        <v>48</v>
      </c>
      <c r="B23" s="9">
        <v>3567.85</v>
      </c>
      <c r="C23" s="9">
        <v>5747.22</v>
      </c>
      <c r="D23" s="9">
        <v>2887.06</v>
      </c>
      <c r="E23" s="9">
        <v>966.67</v>
      </c>
      <c r="F23" s="9">
        <v>296.0</v>
      </c>
      <c r="G23" s="9">
        <v>1218.07</v>
      </c>
      <c r="H23" s="9">
        <v>3343.83</v>
      </c>
      <c r="I23" s="9">
        <v>458.74</v>
      </c>
      <c r="J23" s="9">
        <v>5225.77</v>
      </c>
      <c r="K23" s="12">
        <v>0.0</v>
      </c>
      <c r="L23" s="9">
        <v>4758.25</v>
      </c>
      <c r="M23" s="9">
        <v>1182.17</v>
      </c>
      <c r="N23" s="9">
        <v>2922.67</v>
      </c>
      <c r="O23" s="9">
        <v>1014.42</v>
      </c>
      <c r="P23" s="9">
        <v>1306.19</v>
      </c>
      <c r="Q23" s="9">
        <v>3310.62</v>
      </c>
      <c r="R23" s="9">
        <v>831.45</v>
      </c>
      <c r="S23" s="9">
        <v>4609.78</v>
      </c>
      <c r="T23" s="9">
        <v>1658.0</v>
      </c>
      <c r="U23" s="9">
        <v>4654.48</v>
      </c>
      <c r="V23" s="9">
        <v>742.46</v>
      </c>
      <c r="W23" s="9">
        <v>5164.64</v>
      </c>
      <c r="X23" s="9">
        <v>661.37</v>
      </c>
      <c r="Y23" s="9">
        <v>3227.21</v>
      </c>
      <c r="Z23" s="9">
        <v>1460.53</v>
      </c>
      <c r="AA23" s="9">
        <v>247.92</v>
      </c>
      <c r="AB23" s="9">
        <v>2623.29</v>
      </c>
      <c r="AC23" s="9">
        <v>4286.11</v>
      </c>
      <c r="AD23" s="9">
        <v>2235.6</v>
      </c>
      <c r="AE23" s="9">
        <v>4795.08</v>
      </c>
      <c r="AF23" s="9">
        <v>2000.66</v>
      </c>
    </row>
    <row r="24">
      <c r="A24" s="3" t="s">
        <v>49</v>
      </c>
      <c r="B24" s="12">
        <f t="shared" ref="B24:H24" si="4">SUM(B22:B23)</f>
        <v>3567.85</v>
      </c>
      <c r="C24" s="12">
        <f t="shared" si="4"/>
        <v>5747.22</v>
      </c>
      <c r="D24" s="12">
        <f t="shared" si="4"/>
        <v>2887.06</v>
      </c>
      <c r="E24" s="12">
        <f t="shared" si="4"/>
        <v>966.67</v>
      </c>
      <c r="F24" s="12">
        <f t="shared" si="4"/>
        <v>296</v>
      </c>
      <c r="G24" s="12">
        <f t="shared" si="4"/>
        <v>1218.07</v>
      </c>
      <c r="H24" s="12">
        <f t="shared" si="4"/>
        <v>3344.13</v>
      </c>
      <c r="I24" s="12">
        <f>sum(I22:I23)</f>
        <v>458.74</v>
      </c>
      <c r="J24" s="12">
        <f t="shared" ref="J24:AF24" si="5">SUM(J22:J23)</f>
        <v>5225.77</v>
      </c>
      <c r="K24" s="12">
        <f t="shared" si="5"/>
        <v>0</v>
      </c>
      <c r="L24" s="12">
        <f t="shared" si="5"/>
        <v>4758.25</v>
      </c>
      <c r="M24" s="12">
        <f t="shared" si="5"/>
        <v>1182.17</v>
      </c>
      <c r="N24" s="12">
        <f t="shared" si="5"/>
        <v>2922.67</v>
      </c>
      <c r="O24" s="12">
        <f t="shared" si="5"/>
        <v>1014.42</v>
      </c>
      <c r="P24" s="12">
        <f t="shared" si="5"/>
        <v>1306.19</v>
      </c>
      <c r="Q24" s="12">
        <f t="shared" si="5"/>
        <v>3310.62</v>
      </c>
      <c r="R24" s="12">
        <f t="shared" si="5"/>
        <v>831.45</v>
      </c>
      <c r="S24" s="12">
        <f t="shared" si="5"/>
        <v>4609.78</v>
      </c>
      <c r="T24" s="12">
        <f t="shared" si="5"/>
        <v>1658</v>
      </c>
      <c r="U24" s="12">
        <f t="shared" si="5"/>
        <v>4654.48</v>
      </c>
      <c r="V24" s="12">
        <f t="shared" si="5"/>
        <v>742.46</v>
      </c>
      <c r="W24" s="12">
        <f t="shared" si="5"/>
        <v>5164.64</v>
      </c>
      <c r="X24" s="12">
        <f t="shared" si="5"/>
        <v>661.37</v>
      </c>
      <c r="Y24" s="12">
        <f t="shared" si="5"/>
        <v>3227.21</v>
      </c>
      <c r="Z24" s="12">
        <f t="shared" si="5"/>
        <v>1460.53</v>
      </c>
      <c r="AA24" s="12">
        <f t="shared" si="5"/>
        <v>247.92</v>
      </c>
      <c r="AB24" s="12">
        <f t="shared" si="5"/>
        <v>2623.29</v>
      </c>
      <c r="AC24" s="12">
        <f t="shared" si="5"/>
        <v>4286.11</v>
      </c>
      <c r="AD24" s="12">
        <f t="shared" si="5"/>
        <v>2235.6</v>
      </c>
      <c r="AE24" s="12">
        <f t="shared" si="5"/>
        <v>4795.08</v>
      </c>
      <c r="AF24" s="12">
        <f t="shared" si="5"/>
        <v>2000.66</v>
      </c>
    </row>
    <row r="25">
      <c r="A25" s="3" t="s">
        <v>50</v>
      </c>
      <c r="B25" s="12">
        <f t="shared" ref="B25:AF25" si="6">B19</f>
        <v>2239.3</v>
      </c>
      <c r="C25" s="12">
        <f t="shared" si="6"/>
        <v>0</v>
      </c>
      <c r="D25" s="12">
        <f t="shared" si="6"/>
        <v>0</v>
      </c>
      <c r="E25" s="12">
        <f t="shared" si="6"/>
        <v>18743.3</v>
      </c>
      <c r="F25" s="12">
        <f t="shared" si="6"/>
        <v>15090</v>
      </c>
      <c r="G25" s="12">
        <f t="shared" si="6"/>
        <v>280</v>
      </c>
      <c r="H25" s="12">
        <f t="shared" si="6"/>
        <v>1625.02</v>
      </c>
      <c r="I25" s="12">
        <f t="shared" si="6"/>
        <v>2885.05</v>
      </c>
      <c r="J25" s="12">
        <f t="shared" si="6"/>
        <v>0</v>
      </c>
      <c r="K25" s="12">
        <f t="shared" si="6"/>
        <v>167.45</v>
      </c>
      <c r="L25" s="12">
        <f t="shared" si="6"/>
        <v>0</v>
      </c>
      <c r="M25" s="12">
        <f t="shared" si="6"/>
        <v>0</v>
      </c>
      <c r="N25" s="12">
        <f t="shared" si="6"/>
        <v>0</v>
      </c>
      <c r="O25" s="12">
        <f t="shared" si="6"/>
        <v>0</v>
      </c>
      <c r="P25" s="12">
        <f t="shared" si="6"/>
        <v>3353.41</v>
      </c>
      <c r="Q25" s="12">
        <f t="shared" si="6"/>
        <v>74.85</v>
      </c>
      <c r="R25" s="12">
        <f t="shared" si="6"/>
        <v>0</v>
      </c>
      <c r="S25" s="12">
        <f t="shared" si="6"/>
        <v>1080</v>
      </c>
      <c r="T25" s="12">
        <f t="shared" si="6"/>
        <v>19719.6</v>
      </c>
      <c r="U25" s="12">
        <f t="shared" si="6"/>
        <v>0</v>
      </c>
      <c r="V25" s="12">
        <f t="shared" si="6"/>
        <v>0</v>
      </c>
      <c r="W25" s="12">
        <f t="shared" si="6"/>
        <v>0</v>
      </c>
      <c r="X25" s="12">
        <f t="shared" si="6"/>
        <v>3917.02</v>
      </c>
      <c r="Y25" s="12">
        <f t="shared" si="6"/>
        <v>0</v>
      </c>
      <c r="Z25" s="12">
        <f t="shared" si="6"/>
        <v>0</v>
      </c>
      <c r="AA25" s="12">
        <f t="shared" si="6"/>
        <v>0</v>
      </c>
      <c r="AB25" s="12">
        <f t="shared" si="6"/>
        <v>0</v>
      </c>
      <c r="AC25" s="12">
        <f t="shared" si="6"/>
        <v>0</v>
      </c>
      <c r="AD25" s="12">
        <f t="shared" si="6"/>
        <v>0</v>
      </c>
      <c r="AE25" s="12">
        <f t="shared" si="6"/>
        <v>0</v>
      </c>
      <c r="AF25" s="12">
        <f t="shared" si="6"/>
        <v>0</v>
      </c>
    </row>
    <row r="26">
      <c r="A26" s="3" t="s">
        <v>51</v>
      </c>
      <c r="B26" s="12">
        <f>B5+B24-B25</f>
        <v>24997.54</v>
      </c>
      <c r="C26" s="12">
        <f t="shared" ref="C26:F26" si="7">B26+C24-C25</f>
        <v>30744.76</v>
      </c>
      <c r="D26" s="12">
        <f t="shared" si="7"/>
        <v>33631.82</v>
      </c>
      <c r="E26" s="12">
        <f t="shared" si="7"/>
        <v>15855.19</v>
      </c>
      <c r="F26" s="12">
        <f t="shared" si="7"/>
        <v>1061.19</v>
      </c>
      <c r="G26" s="12">
        <f>F26+G23-G25</f>
        <v>1999.26</v>
      </c>
      <c r="H26" s="12">
        <f t="shared" ref="H26:AF26" si="8">G26+H24-H25</f>
        <v>3718.37</v>
      </c>
      <c r="I26" s="12">
        <f t="shared" si="8"/>
        <v>1292.06</v>
      </c>
      <c r="J26" s="12">
        <f t="shared" si="8"/>
        <v>6517.83</v>
      </c>
      <c r="K26" s="12">
        <f t="shared" si="8"/>
        <v>6350.38</v>
      </c>
      <c r="L26" s="12">
        <f t="shared" si="8"/>
        <v>11108.63</v>
      </c>
      <c r="M26" s="12">
        <f t="shared" si="8"/>
        <v>12290.8</v>
      </c>
      <c r="N26" s="12">
        <f t="shared" si="8"/>
        <v>15213.47</v>
      </c>
      <c r="O26" s="12">
        <f t="shared" si="8"/>
        <v>16227.89</v>
      </c>
      <c r="P26" s="12">
        <f t="shared" si="8"/>
        <v>14180.67</v>
      </c>
      <c r="Q26" s="12">
        <f t="shared" si="8"/>
        <v>17416.44</v>
      </c>
      <c r="R26" s="12">
        <f t="shared" si="8"/>
        <v>18247.89</v>
      </c>
      <c r="S26" s="12">
        <f t="shared" si="8"/>
        <v>21777.67</v>
      </c>
      <c r="T26" s="12">
        <f t="shared" si="8"/>
        <v>3716.07</v>
      </c>
      <c r="U26" s="12">
        <f t="shared" si="8"/>
        <v>8370.55</v>
      </c>
      <c r="V26" s="12">
        <f t="shared" si="8"/>
        <v>9113.01</v>
      </c>
      <c r="W26" s="12">
        <f t="shared" si="8"/>
        <v>14277.65</v>
      </c>
      <c r="X26" s="12">
        <f t="shared" si="8"/>
        <v>11022</v>
      </c>
      <c r="Y26" s="12">
        <f t="shared" si="8"/>
        <v>14249.21</v>
      </c>
      <c r="Z26" s="12">
        <f t="shared" si="8"/>
        <v>15709.74</v>
      </c>
      <c r="AA26" s="12">
        <f t="shared" si="8"/>
        <v>15957.66</v>
      </c>
      <c r="AB26" s="12">
        <f t="shared" si="8"/>
        <v>18580.95</v>
      </c>
      <c r="AC26" s="12">
        <f t="shared" si="8"/>
        <v>22867.06</v>
      </c>
      <c r="AD26" s="12">
        <f t="shared" si="8"/>
        <v>25102.66</v>
      </c>
      <c r="AE26" s="12">
        <f t="shared" si="8"/>
        <v>29897.74</v>
      </c>
      <c r="AF26" s="12">
        <f t="shared" si="8"/>
        <v>31898.4</v>
      </c>
    </row>
    <row r="27">
      <c r="A27" s="3"/>
      <c r="B27" s="3"/>
      <c r="C27" s="3"/>
      <c r="D27" s="3"/>
      <c r="E27" s="3"/>
      <c r="F27" s="3"/>
      <c r="G27" s="2" t="s">
        <v>52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</sheetData>
  <mergeCells count="2">
    <mergeCell ref="A4:AF4"/>
    <mergeCell ref="A15:AF15"/>
  </mergeCells>
  <drawing r:id="rId1"/>
</worksheet>
</file>